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 - Attendance Repor" sheetId="1" r:id="rId1"/>
    <sheet name="Learning - Course Report" sheetId="2" r:id="rId2"/>
    <sheet name="Department Analysis" sheetId="3" r:id="rId3"/>
  </sheets>
  <calcPr calcId="124519" fullCalcOnLoad="1"/>
</workbook>
</file>

<file path=xl/sharedStrings.xml><?xml version="1.0" encoding="utf-8"?>
<sst xmlns="http://schemas.openxmlformats.org/spreadsheetml/2006/main" count="417" uniqueCount="172">
  <si>
    <t>Sep</t>
  </si>
  <si>
    <t>MSNV</t>
  </si>
  <si>
    <t>Full Name</t>
  </si>
  <si>
    <t>Tittle</t>
  </si>
  <si>
    <t>Department/ Campus</t>
  </si>
  <si>
    <t>Level</t>
  </si>
  <si>
    <t>Joined</t>
  </si>
  <si>
    <t>Course</t>
  </si>
  <si>
    <t>Platform</t>
  </si>
  <si>
    <t>230403-02148</t>
  </si>
  <si>
    <t>50000028</t>
  </si>
  <si>
    <t>210322-01528</t>
  </si>
  <si>
    <t>50006991</t>
  </si>
  <si>
    <t>241018-02783</t>
  </si>
  <si>
    <t>50007107</t>
  </si>
  <si>
    <t>140730-00055</t>
  </si>
  <si>
    <t>140506-00044</t>
  </si>
  <si>
    <t>180613-00337</t>
  </si>
  <si>
    <t>140617-00051</t>
  </si>
  <si>
    <t>100502-00005</t>
  </si>
  <si>
    <t>191009-00830</t>
  </si>
  <si>
    <t>200728-01270</t>
  </si>
  <si>
    <t>180528-00322</t>
  </si>
  <si>
    <t>180528-00323</t>
  </si>
  <si>
    <t>170717-00202</t>
  </si>
  <si>
    <t>211112-01717</t>
  </si>
  <si>
    <t>200527-01127</t>
  </si>
  <si>
    <t>200715-01249</t>
  </si>
  <si>
    <t>190225-00456</t>
  </si>
  <si>
    <t>170717-00203</t>
  </si>
  <si>
    <t>170919-00223</t>
  </si>
  <si>
    <t>230403-02126</t>
  </si>
  <si>
    <t>130408-00028</t>
  </si>
  <si>
    <t>141007-00064</t>
  </si>
  <si>
    <t>200707-01234</t>
  </si>
  <si>
    <t>170102-00159</t>
  </si>
  <si>
    <t>181030-00394</t>
  </si>
  <si>
    <t>170320-00175</t>
  </si>
  <si>
    <t>160104-00100</t>
  </si>
  <si>
    <t>190708-00623</t>
  </si>
  <si>
    <t>180917-00379</t>
  </si>
  <si>
    <t>200615-01180</t>
  </si>
  <si>
    <t>200707-01226</t>
  </si>
  <si>
    <t>181220-00706</t>
  </si>
  <si>
    <t>220301-01759</t>
  </si>
  <si>
    <t>240701-02648</t>
  </si>
  <si>
    <t>250401-02940</t>
  </si>
  <si>
    <t>191210-00924</t>
  </si>
  <si>
    <t>230504-02211</t>
  </si>
  <si>
    <t>190312-00486</t>
  </si>
  <si>
    <t>180301-00254</t>
  </si>
  <si>
    <t>211026-01700</t>
  </si>
  <si>
    <t>200701-01218</t>
  </si>
  <si>
    <t>201012-01345</t>
  </si>
  <si>
    <t>201123-01400</t>
  </si>
  <si>
    <t>200601-01137</t>
  </si>
  <si>
    <t>220321-01793</t>
  </si>
  <si>
    <t>230303-02113</t>
  </si>
  <si>
    <t>221004-02000</t>
  </si>
  <si>
    <t>001</t>
  </si>
  <si>
    <t>002</t>
  </si>
  <si>
    <t>003</t>
  </si>
  <si>
    <t>Nguyễn Thị Thùy Trang</t>
  </si>
  <si>
    <t>Trần Thị Mỹ Yến</t>
  </si>
  <si>
    <t>Tôn Linh Nhi</t>
  </si>
  <si>
    <t>Hồ Nhựt Thanh</t>
  </si>
  <si>
    <t>Võ Bình Minh</t>
  </si>
  <si>
    <t>Phạm Trần Quốc Đại</t>
  </si>
  <si>
    <t>Phùng Đức Lộc</t>
  </si>
  <si>
    <t>Phan Yến Phượng</t>
  </si>
  <si>
    <t>Lương Thị Mỹ Hạnh</t>
  </si>
  <si>
    <t>Trần Quốc Danh</t>
  </si>
  <si>
    <t>Đoàn Trọng Nghĩa</t>
  </si>
  <si>
    <t>Huỳnh Thanh Liêm</t>
  </si>
  <si>
    <t>Nguyễn Phương Thân</t>
  </si>
  <si>
    <t>Trần Trọng Nhiên</t>
  </si>
  <si>
    <t>Huỳnh Vũ Luân</t>
  </si>
  <si>
    <t>Huỳnh Thanh Triều</t>
  </si>
  <si>
    <t>Chiếng Cỏng Bẩu</t>
  </si>
  <si>
    <t>Nguyễn Hồng Phúc</t>
  </si>
  <si>
    <t>Trần Minh Sang</t>
  </si>
  <si>
    <t>Trần Đoàn Phước Bảo</t>
  </si>
  <si>
    <t>Lê Duy Tiến</t>
  </si>
  <si>
    <t>Nguyễn Khắc Phục</t>
  </si>
  <si>
    <t>Võ Minh Toàn</t>
  </si>
  <si>
    <t>Lê Vũ Hùng</t>
  </si>
  <si>
    <t>Lê Đức Thịnh</t>
  </si>
  <si>
    <t>Trần Hiếu Liêm</t>
  </si>
  <si>
    <t>Nguyễn Hữu Danh</t>
  </si>
  <si>
    <t>Võ Quốc Minh</t>
  </si>
  <si>
    <t>Bùi Thanh Tâm</t>
  </si>
  <si>
    <t>Bùi Duy Tân</t>
  </si>
  <si>
    <t>Phùng Phước Lộc</t>
  </si>
  <si>
    <t>Nguyễn Tấn Thái Sơn</t>
  </si>
  <si>
    <t>Lê Thành Trung</t>
  </si>
  <si>
    <t>Nguyễn Đặng Trung Hiếu</t>
  </si>
  <si>
    <t>Võ Thị Bích Nhi</t>
  </si>
  <si>
    <t>Huỳnh Thị Kiều Oanh</t>
  </si>
  <si>
    <t>Huỳnh Văn Vàng</t>
  </si>
  <si>
    <t>Trương Đại Hiệp</t>
  </si>
  <si>
    <t>Nguyễn Văn Thi</t>
  </si>
  <si>
    <t>Nguyễn Thị Bích Vân</t>
  </si>
  <si>
    <t>Trần Phạm Quốc Anh</t>
  </si>
  <si>
    <t>Nguyễn Hiếu Lễ</t>
  </si>
  <si>
    <t>Lê Minh Quý</t>
  </si>
  <si>
    <t>Huỳnh Quốc Nam</t>
  </si>
  <si>
    <t>Ngô Trọng Hiếu</t>
  </si>
  <si>
    <t>Văn Công Thật</t>
  </si>
  <si>
    <t>Trần Văn Chí Hải</t>
  </si>
  <si>
    <t>Nguyễn Thanh Hải</t>
  </si>
  <si>
    <t>Nguyễn Thanh Tâm</t>
  </si>
  <si>
    <t>Cao Nhật Giang</t>
  </si>
  <si>
    <t>Test User 1</t>
  </si>
  <si>
    <t>Test User 2</t>
  </si>
  <si>
    <t>Test User 3</t>
  </si>
  <si>
    <t>Trợ lý Kinh doanh</t>
  </si>
  <si>
    <t>Chuyên viên Đảm bảo Chất lượng</t>
  </si>
  <si>
    <t>Trưởng nhóm cao cấp Đảm bảo chất lượng &amp; cảnh giác Dược</t>
  </si>
  <si>
    <t>Nhân viên cao cấp Đảm bảo chất lượng &amp; cảnh giác Dược</t>
  </si>
  <si>
    <t>Nhân viên Đảm bảo chất lượng &amp; cảnh giác Dược</t>
  </si>
  <si>
    <t>Giám đốc Logistics</t>
  </si>
  <si>
    <t>Trưởng phòng Giao nhận - Khu vực 1</t>
  </si>
  <si>
    <t>Trưởng bộ phận Kho</t>
  </si>
  <si>
    <t>Trưởng bộ phận Điều phối</t>
  </si>
  <si>
    <t>Trưởng nhóm Quản lý Kho</t>
  </si>
  <si>
    <t>Chuyên viên Kho (Kiêm lái xe nâng)</t>
  </si>
  <si>
    <t>Chuyên viên Kho</t>
  </si>
  <si>
    <t>Trưởng nhóm Kho</t>
  </si>
  <si>
    <t>Trưởng nhóm Điều phối</t>
  </si>
  <si>
    <t>Chuyên viên Giao nhận (Xe tải)</t>
  </si>
  <si>
    <t>Chuyên viên Giao nhận</t>
  </si>
  <si>
    <t>Chuyên viên Điều phối</t>
  </si>
  <si>
    <t>Chuyên viên Thư ký Logistics</t>
  </si>
  <si>
    <t>Chuyên viên Quản lý Kho</t>
  </si>
  <si>
    <t>Nhân viên Kho</t>
  </si>
  <si>
    <t>Nhân viên Kho (Kiêm lái xe nâng)</t>
  </si>
  <si>
    <t>Staff</t>
  </si>
  <si>
    <t>Khối Kinh doanh</t>
  </si>
  <si>
    <t>P. Đảm bảo Chất lượng</t>
  </si>
  <si>
    <t>P. Đảm bảo chất lượng &amp; cảnh giác Dược</t>
  </si>
  <si>
    <t>P. Kho vận - Khu vực 1</t>
  </si>
  <si>
    <t>P. Kinh doanh</t>
  </si>
  <si>
    <t>P. Nhân sự</t>
  </si>
  <si>
    <t>o</t>
  </si>
  <si>
    <t>x</t>
  </si>
  <si>
    <t>Huận luyện GDP và GSP</t>
  </si>
  <si>
    <t>Orientation Online 01</t>
  </si>
  <si>
    <t>Online</t>
  </si>
  <si>
    <t>Seq</t>
  </si>
  <si>
    <t>Class</t>
  </si>
  <si>
    <t>Contract</t>
  </si>
  <si>
    <t>Targeted Pax</t>
  </si>
  <si>
    <t>No of Participant</t>
  </si>
  <si>
    <t>Paricipation rate</t>
  </si>
  <si>
    <t>Learning Platform</t>
  </si>
  <si>
    <t>Category of Learning</t>
  </si>
  <si>
    <t>Starting Date</t>
  </si>
  <si>
    <t>Ending Date</t>
  </si>
  <si>
    <t>Duration</t>
  </si>
  <si>
    <t>Learning Hour</t>
  </si>
  <si>
    <t>Facilitator</t>
  </si>
  <si>
    <t>Supplier</t>
  </si>
  <si>
    <t>Cost</t>
  </si>
  <si>
    <t>CSAT</t>
  </si>
  <si>
    <t>Note</t>
  </si>
  <si>
    <t>Integration</t>
  </si>
  <si>
    <t>Functional</t>
  </si>
  <si>
    <t>2024-01-12</t>
  </si>
  <si>
    <t>2024-02-01</t>
  </si>
  <si>
    <t>Internal</t>
  </si>
  <si>
    <t>External</t>
  </si>
  <si>
    <t>Vendor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</si>
</sst>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62</v>
      </c>
      <c r="D2" t="s">
        <v>115</v>
      </c>
      <c r="E2" t="s">
        <v>137</v>
      </c>
      <c r="G2" t="s">
        <v>143</v>
      </c>
      <c r="H2" t="s">
        <v>145</v>
      </c>
      <c r="I2" t="s">
        <v>147</v>
      </c>
    </row>
    <row r="3" spans="1:9">
      <c r="B3" t="s">
        <v>10</v>
      </c>
      <c r="C3" t="s">
        <v>63</v>
      </c>
      <c r="D3" t="s">
        <v>116</v>
      </c>
      <c r="E3" t="s">
        <v>138</v>
      </c>
      <c r="G3" t="s">
        <v>144</v>
      </c>
      <c r="H3" t="s">
        <v>145</v>
      </c>
      <c r="I3" t="s">
        <v>147</v>
      </c>
    </row>
    <row r="4" spans="1:9">
      <c r="B4" t="s">
        <v>11</v>
      </c>
      <c r="C4" t="s">
        <v>64</v>
      </c>
      <c r="D4" t="s">
        <v>117</v>
      </c>
      <c r="E4" t="s">
        <v>139</v>
      </c>
      <c r="G4" t="s">
        <v>143</v>
      </c>
      <c r="H4" t="s">
        <v>145</v>
      </c>
      <c r="I4" t="s">
        <v>147</v>
      </c>
    </row>
    <row r="5" spans="1:9">
      <c r="B5" t="s">
        <v>12</v>
      </c>
      <c r="C5" t="s">
        <v>65</v>
      </c>
      <c r="D5" t="s">
        <v>118</v>
      </c>
      <c r="E5" t="s">
        <v>139</v>
      </c>
      <c r="G5" t="s">
        <v>144</v>
      </c>
      <c r="H5" t="s">
        <v>145</v>
      </c>
      <c r="I5" t="s">
        <v>147</v>
      </c>
    </row>
    <row r="6" spans="1:9">
      <c r="B6" t="s">
        <v>13</v>
      </c>
      <c r="C6" t="s">
        <v>66</v>
      </c>
      <c r="D6" t="s">
        <v>119</v>
      </c>
      <c r="E6" t="s">
        <v>139</v>
      </c>
      <c r="G6" t="s">
        <v>144</v>
      </c>
      <c r="H6" t="s">
        <v>145</v>
      </c>
      <c r="I6" t="s">
        <v>147</v>
      </c>
    </row>
    <row r="7" spans="1:9">
      <c r="B7" t="s">
        <v>14</v>
      </c>
      <c r="C7" t="s">
        <v>67</v>
      </c>
      <c r="D7" t="s">
        <v>120</v>
      </c>
      <c r="E7" t="s">
        <v>140</v>
      </c>
      <c r="G7" t="s">
        <v>144</v>
      </c>
      <c r="H7" t="s">
        <v>145</v>
      </c>
      <c r="I7" t="s">
        <v>147</v>
      </c>
    </row>
    <row r="8" spans="1:9">
      <c r="B8" t="s">
        <v>15</v>
      </c>
      <c r="C8" t="s">
        <v>68</v>
      </c>
      <c r="D8" t="s">
        <v>121</v>
      </c>
      <c r="E8" t="s">
        <v>140</v>
      </c>
      <c r="G8" t="s">
        <v>143</v>
      </c>
      <c r="H8" t="s">
        <v>145</v>
      </c>
      <c r="I8" t="s">
        <v>147</v>
      </c>
    </row>
    <row r="9" spans="1:9">
      <c r="B9" t="s">
        <v>16</v>
      </c>
      <c r="C9" t="s">
        <v>69</v>
      </c>
      <c r="D9" t="s">
        <v>122</v>
      </c>
      <c r="E9" t="s">
        <v>140</v>
      </c>
      <c r="G9" t="s">
        <v>144</v>
      </c>
      <c r="H9" t="s">
        <v>145</v>
      </c>
      <c r="I9" t="s">
        <v>147</v>
      </c>
    </row>
    <row r="10" spans="1:9">
      <c r="B10" t="s">
        <v>17</v>
      </c>
      <c r="C10" t="s">
        <v>70</v>
      </c>
      <c r="D10" t="s">
        <v>122</v>
      </c>
      <c r="E10" t="s">
        <v>140</v>
      </c>
      <c r="G10" t="s">
        <v>144</v>
      </c>
      <c r="H10" t="s">
        <v>145</v>
      </c>
      <c r="I10" t="s">
        <v>147</v>
      </c>
    </row>
    <row r="11" spans="1:9">
      <c r="B11" t="s">
        <v>18</v>
      </c>
      <c r="C11" t="s">
        <v>71</v>
      </c>
      <c r="D11" t="s">
        <v>123</v>
      </c>
      <c r="E11" t="s">
        <v>140</v>
      </c>
      <c r="G11" t="s">
        <v>144</v>
      </c>
      <c r="H11" t="s">
        <v>145</v>
      </c>
      <c r="I11" t="s">
        <v>147</v>
      </c>
    </row>
    <row r="12" spans="1:9">
      <c r="B12" t="s">
        <v>19</v>
      </c>
      <c r="C12" t="s">
        <v>72</v>
      </c>
      <c r="D12" t="s">
        <v>123</v>
      </c>
      <c r="E12" t="s">
        <v>140</v>
      </c>
      <c r="G12" t="s">
        <v>144</v>
      </c>
      <c r="H12" t="s">
        <v>145</v>
      </c>
      <c r="I12" t="s">
        <v>147</v>
      </c>
    </row>
    <row r="13" spans="1:9">
      <c r="B13" t="s">
        <v>20</v>
      </c>
      <c r="C13" t="s">
        <v>73</v>
      </c>
      <c r="D13" t="s">
        <v>124</v>
      </c>
      <c r="E13" t="s">
        <v>140</v>
      </c>
      <c r="G13" t="s">
        <v>144</v>
      </c>
      <c r="H13" t="s">
        <v>145</v>
      </c>
      <c r="I13" t="s">
        <v>147</v>
      </c>
    </row>
    <row r="14" spans="1:9">
      <c r="B14" t="s">
        <v>21</v>
      </c>
      <c r="C14" t="s">
        <v>74</v>
      </c>
      <c r="D14" t="s">
        <v>125</v>
      </c>
      <c r="E14" t="s">
        <v>140</v>
      </c>
      <c r="G14" t="s">
        <v>143</v>
      </c>
      <c r="H14" t="s">
        <v>145</v>
      </c>
      <c r="I14" t="s">
        <v>147</v>
      </c>
    </row>
    <row r="15" spans="1:9">
      <c r="B15" t="s">
        <v>22</v>
      </c>
      <c r="C15" t="s">
        <v>75</v>
      </c>
      <c r="D15" t="s">
        <v>126</v>
      </c>
      <c r="E15" t="s">
        <v>140</v>
      </c>
      <c r="G15" t="s">
        <v>144</v>
      </c>
      <c r="H15" t="s">
        <v>145</v>
      </c>
      <c r="I15" t="s">
        <v>147</v>
      </c>
    </row>
    <row r="16" spans="1:9">
      <c r="B16" t="s">
        <v>23</v>
      </c>
      <c r="C16" t="s">
        <v>76</v>
      </c>
      <c r="D16" t="s">
        <v>126</v>
      </c>
      <c r="E16" t="s">
        <v>140</v>
      </c>
      <c r="G16" t="s">
        <v>144</v>
      </c>
      <c r="H16" t="s">
        <v>145</v>
      </c>
      <c r="I16" t="s">
        <v>147</v>
      </c>
    </row>
    <row r="17" spans="2:9">
      <c r="B17" t="s">
        <v>24</v>
      </c>
      <c r="C17" t="s">
        <v>77</v>
      </c>
      <c r="D17" t="s">
        <v>126</v>
      </c>
      <c r="E17" t="s">
        <v>140</v>
      </c>
      <c r="G17" t="s">
        <v>144</v>
      </c>
      <c r="H17" t="s">
        <v>145</v>
      </c>
      <c r="I17" t="s">
        <v>147</v>
      </c>
    </row>
    <row r="18" spans="2:9">
      <c r="B18" t="s">
        <v>25</v>
      </c>
      <c r="C18" t="s">
        <v>78</v>
      </c>
      <c r="D18" t="s">
        <v>126</v>
      </c>
      <c r="E18" t="s">
        <v>140</v>
      </c>
      <c r="G18" t="s">
        <v>143</v>
      </c>
      <c r="H18" t="s">
        <v>145</v>
      </c>
      <c r="I18" t="s">
        <v>147</v>
      </c>
    </row>
    <row r="19" spans="2:9">
      <c r="B19" t="s">
        <v>26</v>
      </c>
      <c r="C19" t="s">
        <v>79</v>
      </c>
      <c r="D19" t="s">
        <v>126</v>
      </c>
      <c r="E19" t="s">
        <v>140</v>
      </c>
      <c r="G19" t="s">
        <v>144</v>
      </c>
      <c r="H19" t="s">
        <v>145</v>
      </c>
      <c r="I19" t="s">
        <v>147</v>
      </c>
    </row>
    <row r="20" spans="2:9">
      <c r="B20" t="s">
        <v>27</v>
      </c>
      <c r="C20" t="s">
        <v>80</v>
      </c>
      <c r="D20" t="s">
        <v>125</v>
      </c>
      <c r="E20" t="s">
        <v>140</v>
      </c>
      <c r="G20" t="s">
        <v>144</v>
      </c>
      <c r="H20" t="s">
        <v>145</v>
      </c>
      <c r="I20" t="s">
        <v>147</v>
      </c>
    </row>
    <row r="21" spans="2:9">
      <c r="B21" t="s">
        <v>28</v>
      </c>
      <c r="C21" t="s">
        <v>81</v>
      </c>
      <c r="D21" t="s">
        <v>127</v>
      </c>
      <c r="E21" t="s">
        <v>140</v>
      </c>
      <c r="G21" t="s">
        <v>144</v>
      </c>
      <c r="H21" t="s">
        <v>145</v>
      </c>
      <c r="I21" t="s">
        <v>147</v>
      </c>
    </row>
    <row r="22" spans="2:9">
      <c r="B22" t="s">
        <v>29</v>
      </c>
      <c r="C22" t="s">
        <v>82</v>
      </c>
      <c r="D22" t="s">
        <v>125</v>
      </c>
      <c r="E22" t="s">
        <v>140</v>
      </c>
      <c r="G22" t="s">
        <v>143</v>
      </c>
      <c r="H22" t="s">
        <v>145</v>
      </c>
      <c r="I22" t="s">
        <v>147</v>
      </c>
    </row>
    <row r="23" spans="2:9">
      <c r="B23" t="s">
        <v>30</v>
      </c>
      <c r="C23" t="s">
        <v>83</v>
      </c>
      <c r="D23" t="s">
        <v>126</v>
      </c>
      <c r="E23" t="s">
        <v>140</v>
      </c>
      <c r="G23" t="s">
        <v>144</v>
      </c>
      <c r="H23" t="s">
        <v>145</v>
      </c>
      <c r="I23" t="s">
        <v>147</v>
      </c>
    </row>
    <row r="24" spans="2:9">
      <c r="B24" t="s">
        <v>31</v>
      </c>
      <c r="C24" t="s">
        <v>84</v>
      </c>
      <c r="D24" t="s">
        <v>127</v>
      </c>
      <c r="E24" t="s">
        <v>140</v>
      </c>
      <c r="G24" t="s">
        <v>144</v>
      </c>
      <c r="H24" t="s">
        <v>145</v>
      </c>
      <c r="I24" t="s">
        <v>147</v>
      </c>
    </row>
    <row r="25" spans="2:9">
      <c r="B25" t="s">
        <v>32</v>
      </c>
      <c r="C25" t="s">
        <v>85</v>
      </c>
      <c r="D25" t="s">
        <v>128</v>
      </c>
      <c r="E25" t="s">
        <v>140</v>
      </c>
      <c r="G25" t="s">
        <v>144</v>
      </c>
      <c r="H25" t="s">
        <v>145</v>
      </c>
      <c r="I25" t="s">
        <v>147</v>
      </c>
    </row>
    <row r="26" spans="2:9">
      <c r="B26" t="s">
        <v>33</v>
      </c>
      <c r="C26" t="s">
        <v>86</v>
      </c>
      <c r="D26" t="s">
        <v>129</v>
      </c>
      <c r="E26" t="s">
        <v>140</v>
      </c>
      <c r="G26" t="s">
        <v>144</v>
      </c>
      <c r="H26" t="s">
        <v>145</v>
      </c>
      <c r="I26" t="s">
        <v>147</v>
      </c>
    </row>
    <row r="27" spans="2:9">
      <c r="B27" t="s">
        <v>34</v>
      </c>
      <c r="C27" t="s">
        <v>87</v>
      </c>
      <c r="D27" t="s">
        <v>129</v>
      </c>
      <c r="E27" t="s">
        <v>140</v>
      </c>
      <c r="G27" t="s">
        <v>144</v>
      </c>
      <c r="H27" t="s">
        <v>145</v>
      </c>
      <c r="I27" t="s">
        <v>147</v>
      </c>
    </row>
    <row r="28" spans="2:9">
      <c r="B28" t="s">
        <v>35</v>
      </c>
      <c r="C28" t="s">
        <v>88</v>
      </c>
      <c r="D28" t="s">
        <v>129</v>
      </c>
      <c r="E28" t="s">
        <v>140</v>
      </c>
      <c r="G28" t="s">
        <v>143</v>
      </c>
      <c r="H28" t="s">
        <v>145</v>
      </c>
      <c r="I28" t="s">
        <v>147</v>
      </c>
    </row>
    <row r="29" spans="2:9">
      <c r="B29" t="s">
        <v>36</v>
      </c>
      <c r="C29" t="s">
        <v>89</v>
      </c>
      <c r="D29" t="s">
        <v>129</v>
      </c>
      <c r="E29" t="s">
        <v>140</v>
      </c>
      <c r="G29" t="s">
        <v>144</v>
      </c>
      <c r="H29" t="s">
        <v>145</v>
      </c>
      <c r="I29" t="s">
        <v>147</v>
      </c>
    </row>
    <row r="30" spans="2:9">
      <c r="B30" t="s">
        <v>37</v>
      </c>
      <c r="C30" t="s">
        <v>90</v>
      </c>
      <c r="D30" t="s">
        <v>130</v>
      </c>
      <c r="E30" t="s">
        <v>140</v>
      </c>
      <c r="G30" t="s">
        <v>144</v>
      </c>
      <c r="H30" t="s">
        <v>145</v>
      </c>
      <c r="I30" t="s">
        <v>147</v>
      </c>
    </row>
    <row r="31" spans="2:9">
      <c r="B31" t="s">
        <v>38</v>
      </c>
      <c r="C31" t="s">
        <v>91</v>
      </c>
      <c r="D31" t="s">
        <v>130</v>
      </c>
      <c r="E31" t="s">
        <v>140</v>
      </c>
      <c r="G31" t="s">
        <v>144</v>
      </c>
      <c r="H31" t="s">
        <v>145</v>
      </c>
      <c r="I31" t="s">
        <v>147</v>
      </c>
    </row>
    <row r="32" spans="2:9">
      <c r="B32" t="s">
        <v>39</v>
      </c>
      <c r="C32" t="s">
        <v>92</v>
      </c>
      <c r="D32" t="s">
        <v>131</v>
      </c>
      <c r="E32" t="s">
        <v>140</v>
      </c>
      <c r="G32" t="s">
        <v>144</v>
      </c>
      <c r="H32" t="s">
        <v>145</v>
      </c>
      <c r="I32" t="s">
        <v>147</v>
      </c>
    </row>
    <row r="33" spans="2:9">
      <c r="B33" t="s">
        <v>40</v>
      </c>
      <c r="C33" t="s">
        <v>93</v>
      </c>
      <c r="D33" t="s">
        <v>128</v>
      </c>
      <c r="E33" t="s">
        <v>140</v>
      </c>
      <c r="G33" t="s">
        <v>144</v>
      </c>
      <c r="H33" t="s">
        <v>145</v>
      </c>
      <c r="I33" t="s">
        <v>147</v>
      </c>
    </row>
    <row r="34" spans="2:9">
      <c r="B34" t="s">
        <v>41</v>
      </c>
      <c r="C34" t="s">
        <v>94</v>
      </c>
      <c r="D34" t="s">
        <v>129</v>
      </c>
      <c r="E34" t="s">
        <v>140</v>
      </c>
      <c r="G34" t="s">
        <v>144</v>
      </c>
      <c r="H34" t="s">
        <v>145</v>
      </c>
      <c r="I34" t="s">
        <v>147</v>
      </c>
    </row>
    <row r="35" spans="2:9">
      <c r="B35" t="s">
        <v>42</v>
      </c>
      <c r="C35" t="s">
        <v>95</v>
      </c>
      <c r="D35" t="s">
        <v>124</v>
      </c>
      <c r="E35" t="s">
        <v>140</v>
      </c>
      <c r="G35" t="s">
        <v>144</v>
      </c>
      <c r="H35" t="s">
        <v>145</v>
      </c>
      <c r="I35" t="s">
        <v>147</v>
      </c>
    </row>
    <row r="36" spans="2:9">
      <c r="B36" t="s">
        <v>43</v>
      </c>
      <c r="C36" t="s">
        <v>96</v>
      </c>
      <c r="D36" t="s">
        <v>132</v>
      </c>
      <c r="E36" t="s">
        <v>140</v>
      </c>
      <c r="G36" t="s">
        <v>143</v>
      </c>
      <c r="H36" t="s">
        <v>145</v>
      </c>
      <c r="I36" t="s">
        <v>147</v>
      </c>
    </row>
    <row r="37" spans="2:9">
      <c r="B37" t="s">
        <v>44</v>
      </c>
      <c r="C37" t="s">
        <v>97</v>
      </c>
      <c r="D37" t="s">
        <v>133</v>
      </c>
      <c r="E37" t="s">
        <v>140</v>
      </c>
      <c r="G37" t="s">
        <v>143</v>
      </c>
      <c r="H37" t="s">
        <v>145</v>
      </c>
      <c r="I37" t="s">
        <v>147</v>
      </c>
    </row>
    <row r="38" spans="2:9">
      <c r="B38" t="s">
        <v>45</v>
      </c>
      <c r="C38" t="s">
        <v>98</v>
      </c>
      <c r="D38" t="s">
        <v>127</v>
      </c>
      <c r="E38" t="s">
        <v>140</v>
      </c>
      <c r="G38" t="s">
        <v>143</v>
      </c>
      <c r="H38" t="s">
        <v>145</v>
      </c>
      <c r="I38" t="s">
        <v>147</v>
      </c>
    </row>
    <row r="39" spans="2:9">
      <c r="B39" t="s">
        <v>46</v>
      </c>
      <c r="C39" t="s">
        <v>99</v>
      </c>
      <c r="D39" t="s">
        <v>127</v>
      </c>
      <c r="E39" t="s">
        <v>140</v>
      </c>
      <c r="G39" t="s">
        <v>144</v>
      </c>
      <c r="H39" t="s">
        <v>145</v>
      </c>
      <c r="I39" t="s">
        <v>147</v>
      </c>
    </row>
    <row r="40" spans="2:9">
      <c r="B40" t="s">
        <v>47</v>
      </c>
      <c r="C40" t="s">
        <v>100</v>
      </c>
      <c r="D40" t="s">
        <v>134</v>
      </c>
      <c r="E40" t="s">
        <v>140</v>
      </c>
      <c r="G40" t="s">
        <v>144</v>
      </c>
      <c r="H40" t="s">
        <v>145</v>
      </c>
      <c r="I40" t="s">
        <v>147</v>
      </c>
    </row>
    <row r="41" spans="2:9">
      <c r="B41" t="s">
        <v>48</v>
      </c>
      <c r="C41" t="s">
        <v>101</v>
      </c>
      <c r="D41" t="s">
        <v>134</v>
      </c>
      <c r="E41" t="s">
        <v>140</v>
      </c>
      <c r="G41" t="s">
        <v>144</v>
      </c>
      <c r="H41" t="s">
        <v>145</v>
      </c>
      <c r="I41" t="s">
        <v>147</v>
      </c>
    </row>
    <row r="42" spans="2:9">
      <c r="B42" t="s">
        <v>49</v>
      </c>
      <c r="C42" t="s">
        <v>102</v>
      </c>
      <c r="D42" t="s">
        <v>135</v>
      </c>
      <c r="E42" t="s">
        <v>140</v>
      </c>
      <c r="G42" t="s">
        <v>144</v>
      </c>
      <c r="H42" t="s">
        <v>145</v>
      </c>
      <c r="I42" t="s">
        <v>147</v>
      </c>
    </row>
    <row r="43" spans="2:9">
      <c r="B43" t="s">
        <v>50</v>
      </c>
      <c r="C43" t="s">
        <v>103</v>
      </c>
      <c r="D43" t="s">
        <v>135</v>
      </c>
      <c r="E43" t="s">
        <v>140</v>
      </c>
      <c r="G43" t="s">
        <v>143</v>
      </c>
      <c r="H43" t="s">
        <v>145</v>
      </c>
      <c r="I43" t="s">
        <v>147</v>
      </c>
    </row>
    <row r="44" spans="2:9">
      <c r="B44" t="s">
        <v>51</v>
      </c>
      <c r="C44" t="s">
        <v>104</v>
      </c>
      <c r="D44" t="s">
        <v>134</v>
      </c>
      <c r="E44" t="s">
        <v>140</v>
      </c>
      <c r="G44" t="s">
        <v>144</v>
      </c>
      <c r="H44" t="s">
        <v>145</v>
      </c>
      <c r="I44" t="s">
        <v>147</v>
      </c>
    </row>
    <row r="45" spans="2:9">
      <c r="B45" t="s">
        <v>52</v>
      </c>
      <c r="C45" t="s">
        <v>105</v>
      </c>
      <c r="D45" t="s">
        <v>135</v>
      </c>
      <c r="E45" t="s">
        <v>140</v>
      </c>
      <c r="G45" t="s">
        <v>144</v>
      </c>
      <c r="H45" t="s">
        <v>145</v>
      </c>
      <c r="I45" t="s">
        <v>147</v>
      </c>
    </row>
    <row r="46" spans="2:9">
      <c r="B46" t="s">
        <v>53</v>
      </c>
      <c r="C46" t="s">
        <v>106</v>
      </c>
      <c r="D46" t="s">
        <v>134</v>
      </c>
      <c r="E46" t="s">
        <v>140</v>
      </c>
      <c r="G46" t="s">
        <v>143</v>
      </c>
      <c r="H46" t="s">
        <v>145</v>
      </c>
      <c r="I46" t="s">
        <v>147</v>
      </c>
    </row>
    <row r="47" spans="2:9">
      <c r="B47" t="s">
        <v>54</v>
      </c>
      <c r="C47" t="s">
        <v>107</v>
      </c>
      <c r="D47" t="s">
        <v>135</v>
      </c>
      <c r="E47" t="s">
        <v>140</v>
      </c>
      <c r="G47" t="s">
        <v>144</v>
      </c>
      <c r="H47" t="s">
        <v>145</v>
      </c>
      <c r="I47" t="s">
        <v>147</v>
      </c>
    </row>
    <row r="48" spans="2:9">
      <c r="B48" t="s">
        <v>55</v>
      </c>
      <c r="C48" t="s">
        <v>108</v>
      </c>
      <c r="D48" t="s">
        <v>134</v>
      </c>
      <c r="E48" t="s">
        <v>140</v>
      </c>
      <c r="G48" t="s">
        <v>144</v>
      </c>
      <c r="H48" t="s">
        <v>145</v>
      </c>
      <c r="I48" t="s">
        <v>147</v>
      </c>
    </row>
    <row r="49" spans="2:9">
      <c r="B49" t="s">
        <v>56</v>
      </c>
      <c r="C49" t="s">
        <v>109</v>
      </c>
      <c r="D49" t="s">
        <v>134</v>
      </c>
      <c r="E49" t="s">
        <v>140</v>
      </c>
      <c r="G49" t="s">
        <v>144</v>
      </c>
      <c r="H49" t="s">
        <v>145</v>
      </c>
      <c r="I49" t="s">
        <v>147</v>
      </c>
    </row>
    <row r="50" spans="2:9">
      <c r="B50" t="s">
        <v>57</v>
      </c>
      <c r="C50" t="s">
        <v>110</v>
      </c>
      <c r="D50" t="s">
        <v>134</v>
      </c>
      <c r="E50" t="s">
        <v>140</v>
      </c>
      <c r="G50" t="s">
        <v>144</v>
      </c>
      <c r="H50" t="s">
        <v>145</v>
      </c>
      <c r="I50" t="s">
        <v>147</v>
      </c>
    </row>
    <row r="51" spans="2:9">
      <c r="B51" t="s">
        <v>58</v>
      </c>
      <c r="C51" t="s">
        <v>111</v>
      </c>
      <c r="D51" t="s">
        <v>134</v>
      </c>
      <c r="E51" t="s">
        <v>140</v>
      </c>
      <c r="G51" t="s">
        <v>144</v>
      </c>
      <c r="H51" t="s">
        <v>145</v>
      </c>
      <c r="I51" t="s">
        <v>147</v>
      </c>
    </row>
    <row r="52" spans="2:9">
      <c r="B52" t="s">
        <v>59</v>
      </c>
      <c r="C52" t="s">
        <v>112</v>
      </c>
      <c r="D52" t="s">
        <v>136</v>
      </c>
      <c r="E52" t="s">
        <v>141</v>
      </c>
      <c r="G52" t="s">
        <v>144</v>
      </c>
      <c r="H52" t="s">
        <v>146</v>
      </c>
      <c r="I52" t="s">
        <v>147</v>
      </c>
    </row>
    <row r="53" spans="2:9">
      <c r="B53" t="s">
        <v>60</v>
      </c>
      <c r="C53" t="s">
        <v>113</v>
      </c>
      <c r="D53" t="s">
        <v>136</v>
      </c>
      <c r="E53" t="s">
        <v>142</v>
      </c>
      <c r="G53" t="s">
        <v>144</v>
      </c>
      <c r="H53" t="s">
        <v>146</v>
      </c>
      <c r="I53" t="s">
        <v>147</v>
      </c>
    </row>
    <row r="54" spans="2:9">
      <c r="B54" t="s">
        <v>61</v>
      </c>
      <c r="C54" t="s">
        <v>114</v>
      </c>
      <c r="D54" t="s">
        <v>136</v>
      </c>
      <c r="E54" t="s">
        <v>141</v>
      </c>
      <c r="G54" t="s">
        <v>143</v>
      </c>
      <c r="H54" t="s">
        <v>146</v>
      </c>
      <c r="I54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148</v>
      </c>
      <c r="B1" s="1" t="s">
        <v>7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</row>
    <row r="2" spans="1:18">
      <c r="A2">
        <v>1</v>
      </c>
      <c r="B2" t="s">
        <v>146</v>
      </c>
      <c r="C2">
        <v>1</v>
      </c>
      <c r="E2">
        <f>COUNTIF('Learning - Attendance Repor'!H:H, B2)</f>
        <v>0</v>
      </c>
      <c r="F2">
        <f>COUNTIFS('Learning - Attendance Repor'!H:H, B2, 'Learning - Attendance Repor'!G:G, "x")</f>
        <v>0</v>
      </c>
      <c r="G2">
        <f>IF(E2=0, 0, F2/E2)</f>
        <v>0</v>
      </c>
      <c r="H2">
        <f>IFERROR(VLOOKUP(B2, 'Learning - Attendance Repor'!H:I, 2, 0), "")</f>
        <v>0</v>
      </c>
      <c r="I2" t="s">
        <v>165</v>
      </c>
      <c r="J2" t="s">
        <v>167</v>
      </c>
      <c r="K2" t="s">
        <v>167</v>
      </c>
      <c r="L2">
        <v>3.5</v>
      </c>
      <c r="M2">
        <f>F2*L2</f>
        <v>0</v>
      </c>
      <c r="N2" t="s">
        <v>169</v>
      </c>
      <c r="P2">
        <v>0</v>
      </c>
    </row>
    <row r="3" spans="1:18">
      <c r="A3">
        <v>2</v>
      </c>
      <c r="B3" t="s">
        <v>145</v>
      </c>
      <c r="C3">
        <v>1</v>
      </c>
      <c r="E3">
        <f>COUNTIF('Learning - Attendance Repor'!H:H, B3)</f>
        <v>0</v>
      </c>
      <c r="F3">
        <f>COUNTIFS('Learning - Attendance Repor'!H:H, B3, 'Learning - Attendance Repor'!G:G, "x")</f>
        <v>0</v>
      </c>
      <c r="G3">
        <f>IF(E3=0, 0, F3/E3)</f>
        <v>0</v>
      </c>
      <c r="H3">
        <f>IFERROR(VLOOKUP(B3, 'Learning - Attendance Repor'!H:I, 2, 0), "")</f>
        <v>0</v>
      </c>
      <c r="I3" t="s">
        <v>166</v>
      </c>
      <c r="J3" t="s">
        <v>168</v>
      </c>
      <c r="K3" t="s">
        <v>168</v>
      </c>
      <c r="L3">
        <v>4</v>
      </c>
      <c r="M3">
        <f>F3*L3</f>
        <v>0</v>
      </c>
      <c r="N3" t="s">
        <v>170</v>
      </c>
      <c r="O3" t="s">
        <v>171</v>
      </c>
      <c r="P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7</v>
      </c>
      <c r="B1" s="1" t="s">
        <v>140</v>
      </c>
      <c r="C1" s="1" t="s">
        <v>141</v>
      </c>
      <c r="D1" s="1" t="s">
        <v>142</v>
      </c>
      <c r="E1" s="1" t="s">
        <v>138</v>
      </c>
      <c r="F1" s="1" t="s">
        <v>139</v>
      </c>
    </row>
    <row r="2" spans="1:6">
      <c r="A2" s="1" t="s">
        <v>145</v>
      </c>
      <c r="B2">
        <v>35</v>
      </c>
      <c r="C2">
        <v>0</v>
      </c>
      <c r="D2">
        <v>0</v>
      </c>
      <c r="E2">
        <v>1</v>
      </c>
      <c r="F2">
        <v>2</v>
      </c>
    </row>
    <row r="3" spans="1:6">
      <c r="A3" s="1" t="s">
        <v>146</v>
      </c>
      <c r="B3">
        <v>0</v>
      </c>
      <c r="C3">
        <v>1</v>
      </c>
      <c r="D3">
        <v>1</v>
      </c>
      <c r="E3">
        <v>0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Learning - Attendance Repor</vt:lpstr>
      <vt:lpstr>Learning - Course Report</vt:lpstr>
      <vt:lpstr>Department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2026-02-04T07:33:06Z</dcterms:created>
  <dcterms:modified xsi:type="dcterms:W3CDTF">2026-02-04T07:33:06Z</dcterms:modified>
</cp:coreProperties>
</file>